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 Collection" sheetId="1" r:id="rId1"/>
  </sheets>
  <calcPr calcId="0" fullCalcOnLoad="1"/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6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b/>
      <sz val="12"/>
      <color rgb="FF1F2937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B08D57"/>
        <bgColor indexed="64"/>
      </patternFill>
    </fill>
    <fill>
      <patternFill patternType="solid">
        <fgColor rgb="FFF2ECE0"/>
        <bgColor indexed="64"/>
      </patternFill>
    </fill>
  </fills>
  <borders count="2">
    <border>
      <left/>
      <right/>
      <top/>
      <bottom/>
      <diagonal/>
    </border>
    <border>
      <left style="thin">
        <color rgb="FFC9C2B2"/>
      </left>
      <right style="thin">
        <color rgb="FFC9C2B2"/>
      </right>
      <top style="thin">
        <color rgb="FFC9C2B2"/>
      </top>
      <bottom style="thin">
        <color rgb="FFC9C2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4" borderId="1" xfId="0" applyFill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4" topLeftCell="A5" activePane="bottomLeft" state="frozen"/>
    </sheetView>
  </sheetViews>
  <cols>
    <col min="1" max="1" width="8" customWidth="1"/>
    <col min="2" max="2" width="16" customWidth="1"/>
    <col min="3" max="3" width="22" customWidth="1"/>
    <col min="4" max="4" width="8" customWidth="1"/>
    <col min="5" max="5" width="26" customWidth="1"/>
    <col min="6" max="6" width="14" customWidth="1"/>
    <col min="7" max="7" width="20" customWidth="1"/>
    <col min="8" max="8" width="60" customWidth="1"/>
    <col min="9" max="9" width="34" customWidth="1"/>
  </cols>
  <sheetData>
    <row r="1" ht="26" customHeight="1">
      <c r="A1" s="1" t="inlineStr">
        <is>
          <t xml:space="preserve">Austrian Coin Collection - Master Catalog</t>
        </is>
      </c>
      <c r="B1" s="1"/>
      <c r="C1" s="1"/>
      <c r="D1" s="1"/>
      <c r="E1" s="1"/>
      <c r="F1" s="1"/>
      <c r="G1" s="1"/>
      <c r="H1" s="1"/>
      <c r="I1" s="1"/>
    </row>
    <row r="2" ht="16" customHeight="1">
      <c r="A2" s="2" t="inlineStr">
        <is>
          <t xml:space="preserve">20 coins, catalogued from photographs. Grades are photo estimates, not certified.</t>
        </is>
      </c>
      <c r="B2" s="2"/>
      <c r="C2" s="2"/>
      <c r="D2" s="2"/>
      <c r="E2" s="2"/>
      <c r="F2" s="2"/>
      <c r="G2" s="2"/>
      <c r="H2" s="2"/>
      <c r="I2" s="2"/>
    </row>
    <row r="4" ht="24" customHeight="1">
      <c r="A4" s="3" t="inlineStr">
        <is>
          <t xml:space="preserve">Coin #</t>
        </is>
      </c>
      <c r="B4" s="3" t="inlineStr">
        <is>
          <t xml:space="preserve">Denomination</t>
        </is>
      </c>
      <c r="C4" s="3" t="inlineStr">
        <is>
          <t xml:space="preserve">Country</t>
        </is>
      </c>
      <c r="D4" s="3" t="inlineStr">
        <is>
          <t xml:space="preserve">Year</t>
        </is>
      </c>
      <c r="E4" s="3" t="inlineStr">
        <is>
          <t xml:space="preserve">Mint</t>
        </is>
      </c>
      <c r="F4" s="3" t="inlineStr">
        <is>
          <t xml:space="preserve">Composition</t>
        </is>
      </c>
      <c r="G4" s="3" t="inlineStr">
        <is>
          <t xml:space="preserve">Grade (est.)</t>
        </is>
      </c>
      <c r="H4" s="3" t="inlineStr">
        <is>
          <t xml:space="preserve">Notes</t>
        </is>
      </c>
      <c r="I4" s="3" t="inlineStr">
        <is>
          <t xml:space="preserve">Confidence Flags</t>
        </is>
      </c>
    </row>
    <row r="5" ht="70" customHeight="1">
      <c r="A5" s="6" t="inlineStr">
        <is>
          <t xml:space="preserve">1</t>
        </is>
      </c>
      <c r="B5" s="4" t="inlineStr">
        <is>
          <t xml:space="preserve">5 Groschen</t>
        </is>
      </c>
      <c r="C5" s="4" t="inlineStr">
        <is>
          <t xml:space="preserve">Austria (Second Republic)</t>
        </is>
      </c>
      <c r="D5" s="4" t="inlineStr">
        <is>
          <t xml:space="preserve">1973</t>
        </is>
      </c>
      <c r="E5" s="4" t="inlineStr">
        <is>
          <t xml:space="preserve">Vienna (single mint, no mintmark)</t>
        </is>
      </c>
      <c r="F5" s="4" t="inlineStr">
        <is>
          <t xml:space="preserve">Zinc</t>
        </is>
      </c>
      <c r="G5" s="4" t="inlineStr">
        <is>
          <t xml:space="preserve">VF (photo estimate)</t>
        </is>
      </c>
      <c r="H5" s="4" t="inlineStr">
        <is>
          <t xml:space="preserve">Obverse: Austrian federal eagle with hammer, sickle, broken chain, REPUBLIK OSTERREICH. Reverse: large 5, GROSCHEN, edelweiss sprigs. Surface shows zinc corrosion/porosity typical of the composition/era.</t>
        </is>
      </c>
      <c r="I5" s="4" t="inlineStr">
        <is>
          <t xml:space="preserve">Confirmed by user</t>
        </is>
      </c>
    </row>
    <row r="6" ht="70" customHeight="1">
      <c r="A6" s="7" t="inlineStr">
        <is>
          <t xml:space="preserve">2</t>
        </is>
      </c>
      <c r="B6" s="5" t="inlineStr">
        <is>
          <t xml:space="preserve">1 Groschen</t>
        </is>
      </c>
      <c r="C6" s="5" t="inlineStr">
        <is>
          <t xml:space="preserve">Austria (Second Republic)</t>
        </is>
      </c>
      <c r="D6" s="5" t="inlineStr">
        <is>
          <t xml:space="preserve">1947</t>
        </is>
      </c>
      <c r="E6" s="5" t="inlineStr">
        <is>
          <t xml:space="preserve">Vienna (single mint, no mintmark)</t>
        </is>
      </c>
      <c r="F6" s="5" t="inlineStr">
        <is>
          <t xml:space="preserve">Aluminum</t>
        </is>
      </c>
      <c r="G6" s="5" t="inlineStr">
        <is>
          <t xml:space="preserve">XF-AU (photo estimate)</t>
        </is>
      </c>
      <c r="H6" s="5" t="inlineStr">
        <is>
          <t xml:space="preserve">Obverse: Austrian eagle, REPUBLIK OSTERREICH. Reverse: large 1, GROSCHEN. Bright aluminum surface, minimal wear, crisp legends.</t>
        </is>
      </c>
      <c r="I6" s="5" t="inlineStr">
        <is>
          <t xml:space="preserve">Confirmed by user - first year of this 1 Groschen type</t>
        </is>
      </c>
    </row>
    <row r="7" ht="70" customHeight="1">
      <c r="A7" s="6" t="inlineStr">
        <is>
          <t xml:space="preserve">3</t>
        </is>
      </c>
      <c r="B7" s="4" t="inlineStr">
        <is>
          <t xml:space="preserve">5 Groschen</t>
        </is>
      </c>
      <c r="C7" s="4" t="inlineStr">
        <is>
          <t xml:space="preserve">Austria (Second Republic)</t>
        </is>
      </c>
      <c r="D7" s="4" t="inlineStr">
        <is>
          <t xml:space="preserve">1968</t>
        </is>
      </c>
      <c r="E7" s="4" t="inlineStr">
        <is>
          <t xml:space="preserve">Vienna (single mint, no mintmark)</t>
        </is>
      </c>
      <c r="F7" s="4" t="inlineStr">
        <is>
          <t xml:space="preserve">Zinc</t>
        </is>
      </c>
      <c r="G7" s="4" t="inlineStr">
        <is>
          <t xml:space="preserve">VF (photo estimate)</t>
        </is>
      </c>
      <c r="H7" s="4" t="inlineStr">
        <is>
          <t xml:space="preserve">Obverse: Austrian federal eagle, REPUBLIK OSTERREICH, partial date visible beneath tail feathers. Reverse: large 5, GROSCHEN, edelweiss sprigs. Same design/wear family as Coin 1.</t>
        </is>
      </c>
      <c r="I7" s="4" t="inlineStr">
        <is>
          <t xml:space="preserve">Confirmed by user</t>
        </is>
      </c>
    </row>
    <row r="8" ht="70" customHeight="1">
      <c r="A8" s="7" t="inlineStr">
        <is>
          <t xml:space="preserve">4</t>
        </is>
      </c>
      <c r="B8" s="5" t="inlineStr">
        <is>
          <t xml:space="preserve">5 Groschen</t>
        </is>
      </c>
      <c r="C8" s="5" t="inlineStr">
        <is>
          <t xml:space="preserve">Austria (Second Republic)</t>
        </is>
      </c>
      <c r="D8" s="5" t="inlineStr">
        <is>
          <t xml:space="preserve">1973</t>
        </is>
      </c>
      <c r="E8" s="5" t="inlineStr">
        <is>
          <t xml:space="preserve">Vienna (single mint, no mintmark)</t>
        </is>
      </c>
      <c r="F8" s="5" t="inlineStr">
        <is>
          <t xml:space="preserve">Zinc</t>
        </is>
      </c>
      <c r="G8" s="5" t="inlineStr">
        <is>
          <t xml:space="preserve">VF (photo estimate)</t>
        </is>
      </c>
      <c r="H8" s="5" t="inlineStr">
        <is>
          <t xml:space="preserve">Obverse: Austrian federal eagle with hammer, sickle, broken chain, REPUBLIK OSTERREICH. Reverse: large 5, GROSCHEN, edelweiss sprigs. Duplicate denomination/year of Coin 1 - confirmed by user as a separate physical coin, not a resubmitted photo.</t>
        </is>
      </c>
      <c r="I8" s="5" t="inlineStr">
        <is>
          <t xml:space="preserve">Date read as 1973 - same confidence basis as Coin 1</t>
        </is>
      </c>
    </row>
    <row r="9" ht="70" customHeight="1">
      <c r="A9" s="6" t="inlineStr">
        <is>
          <t xml:space="preserve">5</t>
        </is>
      </c>
      <c r="B9" s="4" t="inlineStr">
        <is>
          <t xml:space="preserve">5 Groschen</t>
        </is>
      </c>
      <c r="C9" s="4" t="inlineStr">
        <is>
          <t xml:space="preserve">Austria (Second Republic)</t>
        </is>
      </c>
      <c r="D9" s="4" t="inlineStr">
        <is>
          <t xml:space="preserve">1976</t>
        </is>
      </c>
      <c r="E9" s="4" t="inlineStr">
        <is>
          <t xml:space="preserve">Vienna (single mint, no mintmark)</t>
        </is>
      </c>
      <c r="F9" s="4" t="inlineStr">
        <is>
          <t xml:space="preserve">Zinc</t>
        </is>
      </c>
      <c r="G9" s="4" t="inlineStr">
        <is>
          <t xml:space="preserve">XF (photo estimate)</t>
        </is>
      </c>
      <c r="H9" s="4" t="inlineStr">
        <is>
          <t xml:space="preserve">Obverse: Austrian federal eagle with hammer, sickle, broken chain, REPUBLIK OSTERREICH. Reverse: large 5, GROSCHEN, edelweiss sprigs. Sharper/cleaner surfaces than Coins 1/3/4, minimal corrosion, crisp legends.</t>
        </is>
      </c>
      <c r="I9" s="4" t="inlineStr">
        <is>
          <t xml:space="preserve">High confidence - photo sharp and well-lit</t>
        </is>
      </c>
    </row>
    <row r="10" ht="70" customHeight="1">
      <c r="A10" s="7" t="inlineStr">
        <is>
          <t xml:space="preserve">6</t>
        </is>
      </c>
      <c r="B10" s="5" t="inlineStr">
        <is>
          <t xml:space="preserve">5 Groschen</t>
        </is>
      </c>
      <c r="C10" s="5" t="inlineStr">
        <is>
          <t xml:space="preserve">Austria (Second Republic)</t>
        </is>
      </c>
      <c r="D10" s="5" t="inlineStr">
        <is>
          <t xml:space="preserve">1969</t>
        </is>
      </c>
      <c r="E10" s="5" t="inlineStr">
        <is>
          <t xml:space="preserve">Vienna (single mint, no mintmark)</t>
        </is>
      </c>
      <c r="F10" s="5" t="inlineStr">
        <is>
          <t xml:space="preserve">Zinc</t>
        </is>
      </c>
      <c r="G10" s="5" t="inlineStr">
        <is>
          <t xml:space="preserve">VF (photo estimate)</t>
        </is>
      </c>
      <c r="H10" s="5" t="inlineStr">
        <is>
          <t xml:space="preserve">Obverse: Austrian federal eagle with hammer, sickle, broken chain, REPUBLIK OSTERREICH. Reverse: large 5, GROSCHEN, edelweiss sprigs. Moderate corrosion/pitting similar to Coins 1/3/4.</t>
        </is>
      </c>
      <c r="I10" s="5" t="inlineStr">
        <is>
          <t xml:space="preserve">High confidence on date - clear vertical digits</t>
        </is>
      </c>
    </row>
    <row r="11" ht="70" customHeight="1">
      <c r="A11" s="6" t="inlineStr">
        <is>
          <t xml:space="preserve">7</t>
        </is>
      </c>
      <c r="B11" s="4" t="inlineStr">
        <is>
          <t xml:space="preserve">5 Groschen</t>
        </is>
      </c>
      <c r="C11" s="4" t="inlineStr">
        <is>
          <t xml:space="preserve">Austria (Second Republic)</t>
        </is>
      </c>
      <c r="D11" s="4" t="inlineStr">
        <is>
          <t xml:space="preserve">1980</t>
        </is>
      </c>
      <c r="E11" s="4" t="inlineStr">
        <is>
          <t xml:space="preserve">Vienna (single mint, no mintmark)</t>
        </is>
      </c>
      <c r="F11" s="4" t="inlineStr">
        <is>
          <t xml:space="preserve">Zinc</t>
        </is>
      </c>
      <c r="G11" s="4" t="inlineStr">
        <is>
          <t xml:space="preserve">AU (photo estimate)</t>
        </is>
      </c>
      <c r="H11" s="4" t="inlineStr">
        <is>
          <t xml:space="preserve">Obverse: Austrian federal eagle with hammer, sickle, broken chain, REPUBLIK OSTERREICH. Reverse: large 5, GROSCHEN, edelweiss sprigs. Sharp strike, crisp feather detail, minimal wear.</t>
        </is>
      </c>
      <c r="I11" s="4" t="inlineStr">
        <is>
          <t xml:space="preserve">High confidence - date and design very clear</t>
        </is>
      </c>
    </row>
    <row r="12" ht="70" customHeight="1">
      <c r="A12" s="7" t="inlineStr">
        <is>
          <t xml:space="preserve">8</t>
        </is>
      </c>
      <c r="B12" s="5" t="inlineStr">
        <is>
          <t xml:space="preserve">5 Groschen</t>
        </is>
      </c>
      <c r="C12" s="5" t="inlineStr">
        <is>
          <t xml:space="preserve">Austria (Second Republic)</t>
        </is>
      </c>
      <c r="D12" s="5" t="inlineStr">
        <is>
          <t xml:space="preserve">1965</t>
        </is>
      </c>
      <c r="E12" s="5" t="inlineStr">
        <is>
          <t xml:space="preserve">Vienna (single mint, no mintmark)</t>
        </is>
      </c>
      <c r="F12" s="5" t="inlineStr">
        <is>
          <t xml:space="preserve">Zinc</t>
        </is>
      </c>
      <c r="G12" s="5" t="inlineStr">
        <is>
          <t xml:space="preserve">XF-AU (photo estimate)</t>
        </is>
      </c>
      <c r="H12" s="5" t="inlineStr">
        <is>
          <t xml:space="preserve">Obverse: Austrian federal eagle with hammer, sickle, broken chain, REPUBLIK OSTERREICH. Reverse: large 5, GROSCHEN, edelweiss sprigs. Crisp strike, good detail, light wear.</t>
        </is>
      </c>
      <c r="I12" s="5" t="inlineStr">
        <is>
          <t xml:space="preserve">High confidence - date very clear</t>
        </is>
      </c>
    </row>
    <row r="13" ht="70" customHeight="1">
      <c r="A13" s="6" t="inlineStr">
        <is>
          <t xml:space="preserve">9</t>
        </is>
      </c>
      <c r="B13" s="4" t="inlineStr">
        <is>
          <t xml:space="preserve">1 Groschen</t>
        </is>
      </c>
      <c r="C13" s="4" t="inlineStr">
        <is>
          <t xml:space="preserve">Austria (Second Republic)</t>
        </is>
      </c>
      <c r="D13" s="4" t="inlineStr">
        <is>
          <t xml:space="preserve">1961</t>
        </is>
      </c>
      <c r="E13" s="4" t="inlineStr">
        <is>
          <t xml:space="preserve">Vienna (single mint, no mintmark)</t>
        </is>
      </c>
      <c r="F13" s="4" t="inlineStr">
        <is>
          <t xml:space="preserve">Aluminum</t>
        </is>
      </c>
      <c r="G13" s="4" t="inlineStr">
        <is>
          <t xml:space="preserve">F-VF (photo estimate)</t>
        </is>
      </c>
      <c r="H13" s="4" t="inlineStr">
        <is>
          <t xml:space="preserve">Obverse: Austrian eagle, REPUBLIK OSTERREICH. Reverse: large 1, GROSCHEN. Darker/duller surface than Coin 2, more visible wear.</t>
        </is>
      </c>
      <c r="I13" s="4" t="inlineStr">
        <is>
          <t xml:space="preserve">Date cluster cramped/worn - moderate confidence only</t>
        </is>
      </c>
    </row>
    <row r="14" ht="70" customHeight="1">
      <c r="A14" s="7" t="inlineStr">
        <is>
          <t xml:space="preserve">10</t>
        </is>
      </c>
      <c r="B14" s="5" t="inlineStr">
        <is>
          <t xml:space="preserve">5 Groschen</t>
        </is>
      </c>
      <c r="C14" s="5" t="inlineStr">
        <is>
          <t xml:space="preserve">Austria (Second Republic)</t>
        </is>
      </c>
      <c r="D14" s="5" t="inlineStr">
        <is>
          <t xml:space="preserve">1982</t>
        </is>
      </c>
      <c r="E14" s="5" t="inlineStr">
        <is>
          <t xml:space="preserve">Vienna (single mint, no mintmark)</t>
        </is>
      </c>
      <c r="F14" s="5" t="inlineStr">
        <is>
          <t xml:space="preserve">Zinc</t>
        </is>
      </c>
      <c r="G14" s="5" t="inlineStr">
        <is>
          <t xml:space="preserve">XF-AU (photo estimate)</t>
        </is>
      </c>
      <c r="H14" s="5" t="inlineStr">
        <is>
          <t xml:space="preserve">Obverse: Austrian federal eagle with hammer, sickle, broken chain, REPUBLIK OSTERREICH. Reverse: large 5, GROSCHEN, edelweiss sprigs. Crisp strike, good detail.</t>
        </is>
      </c>
      <c r="I14" s="5" t="inlineStr">
        <is>
          <t xml:space="preserve">High confidence - date very clear</t>
        </is>
      </c>
    </row>
    <row r="15" ht="70" customHeight="1">
      <c r="A15" s="6" t="inlineStr">
        <is>
          <t xml:space="preserve">11</t>
        </is>
      </c>
      <c r="B15" s="4" t="inlineStr">
        <is>
          <t xml:space="preserve">5 Groschen</t>
        </is>
      </c>
      <c r="C15" s="4" t="inlineStr">
        <is>
          <t xml:space="preserve">Austria (Second Republic)</t>
        </is>
      </c>
      <c r="D15" s="4" t="inlineStr">
        <is>
          <t xml:space="preserve">1977</t>
        </is>
      </c>
      <c r="E15" s="4" t="inlineStr">
        <is>
          <t xml:space="preserve">Vienna (single mint, no mintmark)</t>
        </is>
      </c>
      <c r="F15" s="4" t="inlineStr">
        <is>
          <t xml:space="preserve">Zinc</t>
        </is>
      </c>
      <c r="G15" s="4" t="inlineStr">
        <is>
          <t xml:space="preserve">VF-XF (photo estimate)</t>
        </is>
      </c>
      <c r="H15" s="4" t="inlineStr">
        <is>
          <t xml:space="preserve">Obverse: Austrian federal eagle with hammer, sickle, broken chain, REPUBLIK OSTERREICH. Reverse: large 5, GROSCHEN, edelweiss sprigs. Moderate wear, legends fully legible.</t>
        </is>
      </c>
      <c r="I15" s="4" t="inlineStr">
        <is>
          <t xml:space="preserve">High confidence - date clear</t>
        </is>
      </c>
    </row>
    <row r="16" ht="70" customHeight="1">
      <c r="A16" s="7" t="inlineStr">
        <is>
          <t xml:space="preserve">12</t>
        </is>
      </c>
      <c r="B16" s="5" t="inlineStr">
        <is>
          <t xml:space="preserve">5 Groschen</t>
        </is>
      </c>
      <c r="C16" s="5" t="inlineStr">
        <is>
          <t xml:space="preserve">Austria (Second Republic)</t>
        </is>
      </c>
      <c r="D16" s="5" t="inlineStr">
        <is>
          <t xml:space="preserve">1966</t>
        </is>
      </c>
      <c r="E16" s="5" t="inlineStr">
        <is>
          <t xml:space="preserve">Vienna (single mint, no mintmark)</t>
        </is>
      </c>
      <c r="F16" s="5" t="inlineStr">
        <is>
          <t xml:space="preserve">Zinc</t>
        </is>
      </c>
      <c r="G16" s="5" t="inlineStr">
        <is>
          <t xml:space="preserve">VF (photo estimate)</t>
        </is>
      </c>
      <c r="H16" s="5" t="inlineStr">
        <is>
          <t xml:space="preserve">Obverse: Austrian federal eagle with hammer, sickle, broken chain, REPUBLIK OSTERREICH. Reverse: large 5, GROSCHEN, edelweiss sprigs. Moderate wear, legends clear.</t>
        </is>
      </c>
      <c r="I16" s="5" t="inlineStr">
        <is>
          <t xml:space="preserve">Moderate-high confidence on date</t>
        </is>
      </c>
    </row>
    <row r="17" ht="70" customHeight="1">
      <c r="A17" s="6" t="inlineStr">
        <is>
          <t xml:space="preserve">13</t>
        </is>
      </c>
      <c r="B17" s="4" t="inlineStr">
        <is>
          <t xml:space="preserve">5 Groschen</t>
        </is>
      </c>
      <c r="C17" s="4" t="inlineStr">
        <is>
          <t xml:space="preserve">Austria (Second Republic)</t>
        </is>
      </c>
      <c r="D17" s="4" t="inlineStr">
        <is>
          <t xml:space="preserve">1975</t>
        </is>
      </c>
      <c r="E17" s="4" t="inlineStr">
        <is>
          <t xml:space="preserve">Vienna (single mint, no mintmark)</t>
        </is>
      </c>
      <c r="F17" s="4" t="inlineStr">
        <is>
          <t xml:space="preserve">Zinc</t>
        </is>
      </c>
      <c r="G17" s="4" t="inlineStr">
        <is>
          <t xml:space="preserve">VF-XF (photo estimate)</t>
        </is>
      </c>
      <c r="H17" s="4" t="inlineStr">
        <is>
          <t xml:space="preserve">Obverse: Austrian federal eagle with hammer, sickle, broken chain, REPUBLIK OSTERREICH. Reverse: large 5, GROSCHEN, edelweiss sprigs.</t>
        </is>
      </c>
      <c r="I17" s="4" t="inlineStr">
        <is>
          <t xml:space="preserve">High confidence - date clear</t>
        </is>
      </c>
    </row>
    <row r="18" ht="70" customHeight="1">
      <c r="A18" s="7" t="inlineStr">
        <is>
          <t xml:space="preserve">14</t>
        </is>
      </c>
      <c r="B18" s="5" t="inlineStr">
        <is>
          <t xml:space="preserve">2 Groschen</t>
        </is>
      </c>
      <c r="C18" s="5" t="inlineStr">
        <is>
          <t xml:space="preserve">Austria (Second Republic)</t>
        </is>
      </c>
      <c r="D18" s="5" t="inlineStr">
        <is>
          <t xml:space="preserve">1984</t>
        </is>
      </c>
      <c r="E18" s="5" t="inlineStr">
        <is>
          <t xml:space="preserve">Vienna (single mint, no mintmark)</t>
        </is>
      </c>
      <c r="F18" s="5" t="inlineStr">
        <is>
          <t xml:space="preserve">Aluminum</t>
        </is>
      </c>
      <c r="G18" s="5" t="inlineStr">
        <is>
          <t xml:space="preserve">VF (photo estimate)</t>
        </is>
      </c>
      <c r="H18" s="5" t="inlineStr">
        <is>
          <t xml:space="preserve">Obverse: Austrian eagle, REPUBLIK OSTERREICH. Reverse: large angular 2, GROSCHEN, edelweiss sprigs.</t>
        </is>
      </c>
      <c r="I18" s="5" t="inlineStr">
        <is>
          <t xml:space="preserve">Digit cluster tightly packed - moderate confidence on date</t>
        </is>
      </c>
    </row>
    <row r="19" ht="70" customHeight="1">
      <c r="A19" s="6" t="inlineStr">
        <is>
          <t xml:space="preserve">15</t>
        </is>
      </c>
      <c r="B19" s="4" t="inlineStr">
        <is>
          <t xml:space="preserve">5 Groschen</t>
        </is>
      </c>
      <c r="C19" s="4" t="inlineStr">
        <is>
          <t xml:space="preserve">Austria (Second Republic)</t>
        </is>
      </c>
      <c r="D19" s="4" t="inlineStr">
        <is>
          <t xml:space="preserve">1970</t>
        </is>
      </c>
      <c r="E19" s="4" t="inlineStr">
        <is>
          <t xml:space="preserve">Vienna (single mint, no mintmark)</t>
        </is>
      </c>
      <c r="F19" s="4" t="inlineStr">
        <is>
          <t xml:space="preserve">Zinc</t>
        </is>
      </c>
      <c r="G19" s="4" t="inlineStr">
        <is>
          <t xml:space="preserve">VF (photo estimate)</t>
        </is>
      </c>
      <c r="H19" s="4" t="inlineStr">
        <is>
          <t xml:space="preserve">Obverse: Austrian federal eagle with hammer, sickle, broken chain, REPUBLIK OSTERREICH (obverse photo has some motion blur). Reverse: large 5, GROSCHEN, edelweiss sprigs.</t>
        </is>
      </c>
      <c r="I19" s="4" t="inlineStr">
        <is>
          <t xml:space="preserve">High confidence on date - reverse sharp</t>
        </is>
      </c>
    </row>
    <row r="20" ht="70" customHeight="1">
      <c r="A20" s="7" t="inlineStr">
        <is>
          <t xml:space="preserve">16</t>
        </is>
      </c>
      <c r="B20" s="5" t="inlineStr">
        <is>
          <t xml:space="preserve">5 Groschen</t>
        </is>
      </c>
      <c r="C20" s="5" t="inlineStr">
        <is>
          <t xml:space="preserve">Austria (Second Republic)</t>
        </is>
      </c>
      <c r="D20" s="5" t="inlineStr">
        <is>
          <t xml:space="preserve">1968</t>
        </is>
      </c>
      <c r="E20" s="5" t="inlineStr">
        <is>
          <t xml:space="preserve">Vienna (single mint, no mintmark)</t>
        </is>
      </c>
      <c r="F20" s="5" t="inlineStr">
        <is>
          <t xml:space="preserve">Zinc</t>
        </is>
      </c>
      <c r="G20" s="5" t="inlineStr">
        <is>
          <t xml:space="preserve">XF (photo estimate)</t>
        </is>
      </c>
      <c r="H20" s="5" t="inlineStr">
        <is>
          <t xml:space="preserve">Obverse: Austrian federal eagle with hammer, sickle, broken chain, REPUBLIK OSTERREICH. Reverse: large 5, GROSCHEN, edelweiss sprigs. Crisp lettering, good detail.</t>
        </is>
      </c>
      <c r="I20" s="5" t="inlineStr">
        <is>
          <t xml:space="preserve">High confidence - date clear</t>
        </is>
      </c>
    </row>
    <row r="21" ht="70" customHeight="1">
      <c r="A21" s="6" t="inlineStr">
        <is>
          <t xml:space="preserve">17</t>
        </is>
      </c>
      <c r="B21" s="4" t="inlineStr">
        <is>
          <t xml:space="preserve">1 Groschen</t>
        </is>
      </c>
      <c r="C21" s="4" t="inlineStr">
        <is>
          <t xml:space="preserve">Austria (Second Republic)</t>
        </is>
      </c>
      <c r="D21" s="4" t="inlineStr">
        <is>
          <t xml:space="preserve">1961</t>
        </is>
      </c>
      <c r="E21" s="4" t="inlineStr">
        <is>
          <t xml:space="preserve">Vienna (single mint, no mintmark)</t>
        </is>
      </c>
      <c r="F21" s="4" t="inlineStr">
        <is>
          <t xml:space="preserve">Aluminum</t>
        </is>
      </c>
      <c r="G21" s="4" t="inlineStr">
        <is>
          <t xml:space="preserve">F-VF (photo estimate)</t>
        </is>
      </c>
      <c r="H21" s="4" t="inlineStr">
        <is>
          <t xml:space="preserve">Obverse: Austrian eagle, REPUBLIK OSTERREICH. Reverse: large 1, GROSCHEN. Similar toning/wear to Coin 9 - possible duplicate year.</t>
        </is>
      </c>
      <c r="I21" s="4" t="inlineStr">
        <is>
          <t xml:space="preserve">Tail digits (61) reasonably clear - moderate confidence overall</t>
        </is>
      </c>
    </row>
    <row r="22" ht="70" customHeight="1">
      <c r="A22" s="7" t="inlineStr">
        <is>
          <t xml:space="preserve">18</t>
        </is>
      </c>
      <c r="B22" s="5" t="inlineStr">
        <is>
          <t xml:space="preserve">5 Groschen</t>
        </is>
      </c>
      <c r="C22" s="5" t="inlineStr">
        <is>
          <t xml:space="preserve">Austria (Second Republic)</t>
        </is>
      </c>
      <c r="D22" s="5" t="inlineStr">
        <is>
          <t xml:space="preserve">1968</t>
        </is>
      </c>
      <c r="E22" s="5" t="inlineStr">
        <is>
          <t xml:space="preserve">Vienna (single mint, no mintmark)</t>
        </is>
      </c>
      <c r="F22" s="5" t="inlineStr">
        <is>
          <t xml:space="preserve">Zinc</t>
        </is>
      </c>
      <c r="G22" s="5" t="inlineStr">
        <is>
          <t xml:space="preserve">VF-XF (photo estimate)</t>
        </is>
      </c>
      <c r="H22" s="5" t="inlineStr">
        <is>
          <t xml:space="preserve">Obverse: Austrian federal eagle with hammer, sickle, broken chain, REPUBLIK OSTERREICH. Reverse: large 5, GROSCHEN, edelweiss sprigs. Same date as Coin 16 - duplicate year.</t>
        </is>
      </c>
      <c r="I22" s="5" t="inlineStr">
        <is>
          <t xml:space="preserve">High confidence - date clear</t>
        </is>
      </c>
    </row>
    <row r="23" ht="70" customHeight="1">
      <c r="A23" s="6" t="inlineStr">
        <is>
          <t xml:space="preserve">19</t>
        </is>
      </c>
      <c r="B23" s="4" t="inlineStr">
        <is>
          <t xml:space="preserve">5 Groschen</t>
        </is>
      </c>
      <c r="C23" s="4" t="inlineStr">
        <is>
          <t xml:space="preserve">Austria (Second Republic)</t>
        </is>
      </c>
      <c r="D23" s="4" t="inlineStr">
        <is>
          <t xml:space="preserve">1970</t>
        </is>
      </c>
      <c r="E23" s="4" t="inlineStr">
        <is>
          <t xml:space="preserve">Vienna (single mint, no mintmark)</t>
        </is>
      </c>
      <c r="F23" s="4" t="inlineStr">
        <is>
          <t xml:space="preserve">Zinc</t>
        </is>
      </c>
      <c r="G23" s="4" t="inlineStr">
        <is>
          <t xml:space="preserve">VF-XF (photo estimate)</t>
        </is>
      </c>
      <c r="H23" s="4" t="inlineStr">
        <is>
          <t xml:space="preserve">Obverse: Austrian federal eagle with hammer, sickle, broken chain, REPUBLIK OSTERREICH. Reverse: large 5, GROSCHEN, edelweiss sprigs. Same date as Coin 15 - duplicate year.</t>
        </is>
      </c>
      <c r="I23" s="4" t="inlineStr">
        <is>
          <t xml:space="preserve">High confidence - date very clear</t>
        </is>
      </c>
    </row>
    <row r="24" ht="70" customHeight="1">
      <c r="A24" s="7" t="inlineStr">
        <is>
          <t xml:space="preserve">20</t>
        </is>
      </c>
      <c r="B24" s="5" t="inlineStr">
        <is>
          <t xml:space="preserve">5 Groschen</t>
        </is>
      </c>
      <c r="C24" s="5" t="inlineStr">
        <is>
          <t xml:space="preserve">Austria (Second Republic)</t>
        </is>
      </c>
      <c r="D24" s="5" t="inlineStr">
        <is>
          <t xml:space="preserve">1966</t>
        </is>
      </c>
      <c r="E24" s="5" t="inlineStr">
        <is>
          <t xml:space="preserve">Vienna (single mint, no mintmark)</t>
        </is>
      </c>
      <c r="F24" s="5" t="inlineStr">
        <is>
          <t xml:space="preserve">Zinc</t>
        </is>
      </c>
      <c r="G24" s="5" t="inlineStr">
        <is>
          <t xml:space="preserve">XF (photo estimate)</t>
        </is>
      </c>
      <c r="H24" s="5" t="inlineStr">
        <is>
          <t xml:space="preserve">Obverse: Austrian federal eagle with hammer, sickle, broken chain, REPUBLIK OSTERREICH. Reverse: large 5, GROSCHEN, edelweiss sprigs. Same date as Coin 12 - duplicate year. Crisp detail.</t>
        </is>
      </c>
      <c r="I24" s="5" t="inlineStr">
        <is>
          <t xml:space="preserve">High confidence - date clear</t>
        </is>
      </c>
    </row>
    <row r="27">
      <c r="A27" s="10" t="inlineStr">
        <is>
          <t xml:space="preserve">Collection Summary</t>
        </is>
      </c>
      <c r="B27" s="10"/>
      <c r="C27" s="10"/>
    </row>
    <row r="28">
      <c r="A28" s="8" t="inlineStr">
        <is>
          <t xml:space="preserve">Total coins</t>
        </is>
      </c>
      <c r="B28" s="9">
        <f>COUNTA(A5:A24)</f>
      </c>
    </row>
    <row r="29">
      <c r="A29" s="8" t="inlineStr">
        <is>
          <t xml:space="preserve">5 Groschen count</t>
        </is>
      </c>
      <c r="B29" s="9">
        <f>COUNTIF(B5:B24,"5 Groschen")</f>
      </c>
    </row>
    <row r="30">
      <c r="A30" s="8" t="inlineStr">
        <is>
          <t xml:space="preserve">2 Groschen count</t>
        </is>
      </c>
      <c r="B30" s="9">
        <f>COUNTIF(B5:B24,"2 Groschen")</f>
      </c>
    </row>
    <row r="31">
      <c r="A31" s="8" t="inlineStr">
        <is>
          <t xml:space="preserve">1 Groschen count</t>
        </is>
      </c>
      <c r="B31" s="9">
        <f>COUNTIF(B5:B24,"1 Groschen")</f>
      </c>
    </row>
    <row r="32">
      <c r="A32" s="8" t="inlineStr">
        <is>
          <t xml:space="preserve">Earliest year</t>
        </is>
      </c>
      <c r="B32" s="9">
        <f>MIN(D5:D24)</f>
      </c>
    </row>
    <row r="33">
      <c r="A33" s="8" t="inlineStr">
        <is>
          <t xml:space="preserve">Latest year</t>
        </is>
      </c>
      <c r="B33" s="9">
        <f>MAX(D5:D24)</f>
      </c>
    </row>
  </sheetData>
  <mergeCells count="3">
    <mergeCell ref="A1:I1"/>
    <mergeCell ref="A2:I2"/>
    <mergeCell ref="A27:C27"/>
  </mergeCells>
</worksheet>
</file>

<file path=docProps/app.xml><?xml version="1.0" encoding="utf-8"?>
<Properties xmlns="http://schemas.openxmlformats.org/officeDocument/2006/extended-properties">
  <Application>Claude Code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Austrian Coin Collection Catalog</dc:title>
  <dc:creator>Claude</dc:creator>
</cp:coreProperties>
</file>